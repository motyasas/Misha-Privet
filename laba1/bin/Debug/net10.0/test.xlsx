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tti\source\repos\AIS.2SEM.1LABA\laba1\bin\Debug\net10.0\"/>
    </mc:Choice>
  </mc:AlternateContent>
  <xr:revisionPtr revIDLastSave="0" documentId="11_072CCB25708E0D39022EC16AB81F719638BB258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Тес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 s="1"/>
  <c r="G8" i="1"/>
  <c r="L8" i="1" s="1"/>
  <c r="I8" i="1"/>
  <c r="J8" i="1" s="1"/>
  <c r="K8" i="1"/>
  <c r="B9" i="1"/>
  <c r="K9" i="1"/>
  <c r="B10" i="1"/>
  <c r="K10" i="1"/>
  <c r="B11" i="1"/>
  <c r="K11" i="1"/>
  <c r="B12" i="1"/>
  <c r="K12" i="1"/>
  <c r="B13" i="1"/>
  <c r="K13" i="1"/>
  <c r="B14" i="1"/>
  <c r="K14" i="1"/>
  <c r="B15" i="1"/>
  <c r="K15" i="1"/>
  <c r="B16" i="1"/>
  <c r="B17" i="1"/>
  <c r="K17" i="1"/>
  <c r="B18" i="1"/>
  <c r="K18" i="1"/>
  <c r="K16" i="1" l="1"/>
  <c r="D8" i="1"/>
  <c r="E8" i="1" l="1"/>
  <c r="F8" i="1" s="1"/>
  <c r="G9" i="1" l="1"/>
  <c r="L9" i="1" l="1"/>
  <c r="I9" i="1"/>
  <c r="C9" i="1"/>
  <c r="D9" i="1" l="1"/>
  <c r="E9" i="1" s="1"/>
  <c r="F9" i="1" s="1"/>
  <c r="J9" i="1"/>
  <c r="G10" i="1" l="1"/>
  <c r="I10" i="1" l="1"/>
  <c r="C10" i="1"/>
  <c r="L10" i="1"/>
  <c r="D10" i="1"/>
  <c r="E10" i="1" s="1"/>
  <c r="F10" i="1" s="1"/>
  <c r="G11" i="1" l="1"/>
  <c r="J10" i="1"/>
  <c r="I11" i="1" l="1"/>
  <c r="L11" i="1"/>
  <c r="C11" i="1"/>
  <c r="D11" i="1" l="1"/>
  <c r="E11" i="1" s="1"/>
  <c r="F11" i="1" s="1"/>
  <c r="J11" i="1"/>
  <c r="G12" i="1" l="1"/>
  <c r="L12" i="1" l="1"/>
  <c r="I12" i="1"/>
  <c r="C12" i="1"/>
  <c r="D12" i="1"/>
  <c r="E12" i="1" s="1"/>
  <c r="F12" i="1" s="1"/>
  <c r="G13" i="1" l="1"/>
  <c r="J12" i="1"/>
  <c r="L13" i="1" l="1"/>
  <c r="I13" i="1"/>
  <c r="C13" i="1"/>
  <c r="D13" i="1" l="1"/>
  <c r="E13" i="1" s="1"/>
  <c r="F13" i="1" s="1"/>
  <c r="J13" i="1"/>
  <c r="G14" i="1" l="1"/>
  <c r="I14" i="1" l="1"/>
  <c r="J14" i="1" s="1"/>
  <c r="L14" i="1"/>
  <c r="C14" i="1"/>
  <c r="D14" i="1" l="1"/>
  <c r="E14" i="1" s="1"/>
  <c r="F14" i="1" s="1"/>
  <c r="G15" i="1" l="1"/>
  <c r="I15" i="1" l="1"/>
  <c r="J15" i="1" s="1"/>
  <c r="L15" i="1"/>
  <c r="C15" i="1"/>
  <c r="D15" i="1" l="1"/>
  <c r="E15" i="1" s="1"/>
  <c r="F15" i="1" s="1"/>
  <c r="G16" i="1" l="1"/>
  <c r="L16" i="1" l="1"/>
  <c r="I16" i="1"/>
  <c r="J16" i="1" s="1"/>
  <c r="C16" i="1"/>
  <c r="D16" i="1" s="1"/>
  <c r="E16" i="1" s="1"/>
  <c r="F16" i="1" s="1"/>
  <c r="G17" i="1" l="1"/>
  <c r="L17" i="1" l="1"/>
  <c r="I17" i="1"/>
  <c r="J17" i="1" s="1"/>
  <c r="C17" i="1"/>
  <c r="D17" i="1" l="1"/>
  <c r="E17" i="1" s="1"/>
  <c r="F17" i="1" s="1"/>
  <c r="G18" i="1" l="1"/>
  <c r="L18" i="1" l="1"/>
  <c r="I18" i="1"/>
  <c r="C18" i="1"/>
  <c r="D18" i="1" s="1"/>
  <c r="E18" i="1" s="1"/>
  <c r="F18" i="1" s="1"/>
  <c r="J18" i="1" l="1"/>
  <c r="C20" i="1"/>
  <c r="C21" i="1" s="1"/>
</calcChain>
</file>

<file path=xl/sharedStrings.xml><?xml version="1.0" encoding="utf-8"?>
<sst xmlns="http://schemas.openxmlformats.org/spreadsheetml/2006/main" count="21" uniqueCount="21">
  <si>
    <t>Контрольный тест: метод Рунге-Кутта 4-го порядка</t>
  </si>
  <si>
    <t>h</t>
  </si>
  <si>
    <t>x0</t>
  </si>
  <si>
    <t>y0</t>
  </si>
  <si>
    <t>Допуск</t>
  </si>
  <si>
    <t>f(x, y) = x - y</t>
  </si>
  <si>
    <t>y(x) точное = x - 1 + 2*Exp(-x)</t>
  </si>
  <si>
    <t>i</t>
  </si>
  <si>
    <t>x</t>
  </si>
  <si>
    <t>k1</t>
  </si>
  <si>
    <t>k2</t>
  </si>
  <si>
    <t>k3</t>
  </si>
  <si>
    <t>k4</t>
  </si>
  <si>
    <t>y (Excel)</t>
  </si>
  <si>
    <t>y (программа C#)</t>
  </si>
  <si>
    <t>|Δ| Excel–C#</t>
  </si>
  <si>
    <t>Статус</t>
  </si>
  <si>
    <t>y точное</t>
  </si>
  <si>
    <t>|y Excel − y точное|</t>
  </si>
  <si>
    <t>max |Δ| Excel–C#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</si>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</sst>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164" fontId="0" fillId="0" borderId="0" xfId="0" applyNumberFormat="1"/>
    <xf numFmtId="164" fontId="2" fillId="3" borderId="0" xfId="0" applyNumberFormat="1" applyFont="1" applyFill="1"/>
    <xf numFmtId="11" fontId="0" fillId="0" borderId="0" xfId="0" applyNumberFormat="1"/>
  </cellXfs>
  <cellStyles count="1">
    <cellStyle name="Обычный" xfId="0" builtinId="0"/>
  </cellStyles>
  <dxfs count="2">
    <dxf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9" sqref="H9"/>
    </sheetView>
  </sheetViews>
  <sheetFormatPr defaultRowHeight="14.25" x14ac:dyDescent="0.45"/>
  <cols>
    <col min="1" max="12" width="18.73046875" customWidth="1"/>
  </cols>
  <sheetData>
    <row r="1" spans="1:12" x14ac:dyDescent="0.45">
      <c r="A1" s="1" t="s">
        <v>0</v>
      </c>
    </row>
    <row r="2" spans="1:12" x14ac:dyDescent="0.45">
      <c r="A2" t="s">
        <v>1</v>
      </c>
      <c r="B2" s="2">
        <v>0.1</v>
      </c>
      <c r="C2" t="s">
        <v>5</v>
      </c>
    </row>
    <row r="3" spans="1:12" x14ac:dyDescent="0.45">
      <c r="A3" t="s">
        <v>2</v>
      </c>
      <c r="B3" s="2">
        <v>0</v>
      </c>
      <c r="C3" t="s">
        <v>6</v>
      </c>
    </row>
    <row r="4" spans="1:12" x14ac:dyDescent="0.45">
      <c r="A4" t="s">
        <v>3</v>
      </c>
      <c r="B4" s="2">
        <v>1</v>
      </c>
    </row>
    <row r="5" spans="1:12" x14ac:dyDescent="0.45">
      <c r="A5" t="s">
        <v>4</v>
      </c>
      <c r="B5" s="2">
        <v>1.0000000000000001E-9</v>
      </c>
    </row>
    <row r="7" spans="1:12" ht="32" customHeight="1" x14ac:dyDescent="0.4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 spans="1:12" x14ac:dyDescent="0.45">
      <c r="A8">
        <v>0</v>
      </c>
      <c r="B8" s="4">
        <f t="shared" ref="B8:B18" si="0">$B$3+A8*$B$2</f>
        <v>0</v>
      </c>
      <c r="C8" s="4">
        <f t="shared" ref="C8:C18" si="1">$B$2*((B8) - (G8))</f>
        <v>-0.1</v>
      </c>
      <c r="D8" s="4">
        <f t="shared" ref="D8:D18" si="2">$B$2*((B8+$B$2/2) - (G8+C8/2))</f>
        <v>-0.09</v>
      </c>
      <c r="E8" s="4">
        <f t="shared" ref="E8:E18" si="3">$B$2*((B8+$B$2/2) - (G8+D8/2))</f>
        <v>-9.0499999999999997E-2</v>
      </c>
      <c r="F8" s="4">
        <f t="shared" ref="F8:F18" si="4">$B$2*((B8+$B$2) - (G8+E8))</f>
        <v>-8.0950000000000008E-2</v>
      </c>
      <c r="G8" s="4">
        <f>$B$4</f>
        <v>1</v>
      </c>
      <c r="H8" s="5">
        <v>1</v>
      </c>
      <c r="I8" s="6">
        <f t="shared" ref="I8:I18" si="5">ABS(G8-H8)</f>
        <v>0</v>
      </c>
      <c r="J8" s="4" t="str">
        <f t="shared" ref="J8:J18" si="6">IF(I8&lt;=$B$5,"OK","ОШИБКА")</f>
        <v>OK</v>
      </c>
      <c r="K8" s="4">
        <f t="shared" ref="K8:K18" si="7">((B8) - 1 + 2*EXP(-(B8)))</f>
        <v>1</v>
      </c>
      <c r="L8" s="6">
        <f t="shared" ref="L8:L18" si="8">ABS(G8-K8)</f>
        <v>0</v>
      </c>
    </row>
    <row r="9" spans="1:12" x14ac:dyDescent="0.45">
      <c r="A9">
        <v>1</v>
      </c>
      <c r="B9" s="4">
        <f t="shared" si="0"/>
        <v>0.1</v>
      </c>
      <c r="C9" s="4">
        <f t="shared" si="1"/>
        <v>-8.0967500000000012E-2</v>
      </c>
      <c r="D9" s="4">
        <f t="shared" si="2"/>
        <v>-7.1919125E-2</v>
      </c>
      <c r="E9" s="4">
        <f t="shared" si="3"/>
        <v>-7.2371543750000003E-2</v>
      </c>
      <c r="F9" s="4">
        <f t="shared" si="4"/>
        <v>-6.3730345625000004E-2</v>
      </c>
      <c r="G9" s="4">
        <f t="shared" ref="G9:G18" si="9">G8+(C8+2*D8+2*E8+F8)/6</f>
        <v>0.90967500000000001</v>
      </c>
      <c r="H9" s="5">
        <v>0.90967500000000001</v>
      </c>
      <c r="I9" s="6">
        <f t="shared" si="5"/>
        <v>0</v>
      </c>
      <c r="J9" s="4" t="str">
        <f t="shared" si="6"/>
        <v>OK</v>
      </c>
      <c r="K9" s="4">
        <f t="shared" si="7"/>
        <v>0.90967483607191901</v>
      </c>
      <c r="L9" s="6">
        <f t="shared" si="8"/>
        <v>1.6392808099841005E-7</v>
      </c>
    </row>
    <row r="10" spans="1:12" x14ac:dyDescent="0.45">
      <c r="A10">
        <v>2</v>
      </c>
      <c r="B10" s="4">
        <f t="shared" si="0"/>
        <v>0.2</v>
      </c>
      <c r="C10" s="4">
        <f t="shared" si="1"/>
        <v>-6.3746180281250009E-2</v>
      </c>
      <c r="D10" s="4">
        <f t="shared" si="2"/>
        <v>-5.5558871267187504E-2</v>
      </c>
      <c r="E10" s="4">
        <f t="shared" si="3"/>
        <v>-5.5968236717890633E-2</v>
      </c>
      <c r="F10" s="4">
        <f t="shared" si="4"/>
        <v>-4.8149356609460937E-2</v>
      </c>
      <c r="G10" s="4">
        <f t="shared" si="9"/>
        <v>0.83746180281250004</v>
      </c>
      <c r="H10" s="5">
        <v>0.83746180281250004</v>
      </c>
      <c r="I10" s="6">
        <f t="shared" si="5"/>
        <v>0</v>
      </c>
      <c r="J10" s="4" t="str">
        <f t="shared" si="6"/>
        <v>OK</v>
      </c>
      <c r="K10" s="4">
        <f t="shared" si="7"/>
        <v>0.8374615061559636</v>
      </c>
      <c r="L10" s="6">
        <f t="shared" si="8"/>
        <v>2.9665653644705969E-7</v>
      </c>
    </row>
    <row r="11" spans="1:12" x14ac:dyDescent="0.45">
      <c r="A11">
        <v>3</v>
      </c>
      <c r="B11" s="4">
        <f t="shared" si="0"/>
        <v>0.30000000000000004</v>
      </c>
      <c r="C11" s="4">
        <f t="shared" si="1"/>
        <v>-4.8163684400235551E-2</v>
      </c>
      <c r="D11" s="4">
        <f t="shared" si="2"/>
        <v>-4.075550018022378E-2</v>
      </c>
      <c r="E11" s="4">
        <f t="shared" si="3"/>
        <v>-4.1125909391224368E-2</v>
      </c>
      <c r="F11" s="4">
        <f t="shared" si="4"/>
        <v>-3.4051093461113117E-2</v>
      </c>
      <c r="G11" s="4">
        <f t="shared" si="9"/>
        <v>0.78163684400235556</v>
      </c>
      <c r="H11" s="5">
        <v>0.781636844002356</v>
      </c>
      <c r="I11" s="6">
        <f t="shared" si="5"/>
        <v>4.4408920985006262E-16</v>
      </c>
      <c r="J11" s="4" t="str">
        <f t="shared" si="6"/>
        <v>OK</v>
      </c>
      <c r="K11" s="4">
        <f t="shared" si="7"/>
        <v>0.7816364413634358</v>
      </c>
      <c r="L11" s="6">
        <f t="shared" si="8"/>
        <v>4.0263891976088928E-7</v>
      </c>
    </row>
    <row r="12" spans="1:12" x14ac:dyDescent="0.45">
      <c r="A12">
        <v>4</v>
      </c>
      <c r="B12" s="4">
        <f t="shared" si="0"/>
        <v>0.4</v>
      </c>
      <c r="C12" s="4">
        <f t="shared" si="1"/>
        <v>-3.4064057783498136E-2</v>
      </c>
      <c r="D12" s="4">
        <f t="shared" si="2"/>
        <v>-2.7360854894323234E-2</v>
      </c>
      <c r="E12" s="4">
        <f t="shared" si="3"/>
        <v>-2.7696015038781982E-2</v>
      </c>
      <c r="F12" s="4">
        <f t="shared" si="4"/>
        <v>-2.1294456279619945E-2</v>
      </c>
      <c r="G12" s="4">
        <f t="shared" si="9"/>
        <v>0.74064057783498138</v>
      </c>
      <c r="H12" s="5">
        <v>0.74064057783498105</v>
      </c>
      <c r="I12" s="6">
        <f t="shared" si="5"/>
        <v>3.3306690738754696E-16</v>
      </c>
      <c r="J12" s="4" t="str">
        <f t="shared" si="6"/>
        <v>OK</v>
      </c>
      <c r="K12" s="4">
        <f t="shared" si="7"/>
        <v>0.74064009207127868</v>
      </c>
      <c r="L12" s="6">
        <f t="shared" si="8"/>
        <v>4.8576370270669855E-7</v>
      </c>
    </row>
    <row r="13" spans="1:12" x14ac:dyDescent="0.45">
      <c r="A13">
        <v>5</v>
      </c>
      <c r="B13" s="4">
        <f t="shared" si="0"/>
        <v>0.5</v>
      </c>
      <c r="C13" s="4">
        <f t="shared" si="1"/>
        <v>-2.1306186884675993E-2</v>
      </c>
      <c r="D13" s="4">
        <f t="shared" si="2"/>
        <v>-1.5240877540442189E-2</v>
      </c>
      <c r="E13" s="4">
        <f t="shared" si="3"/>
        <v>-1.5544143007653877E-2</v>
      </c>
      <c r="F13" s="4">
        <f t="shared" si="4"/>
        <v>-9.7517725839106131E-3</v>
      </c>
      <c r="G13" s="4">
        <f t="shared" si="9"/>
        <v>0.71306186884675993</v>
      </c>
      <c r="H13" s="5">
        <v>0.71306186884676004</v>
      </c>
      <c r="I13" s="6">
        <f t="shared" si="5"/>
        <v>1.1102230246251565E-16</v>
      </c>
      <c r="J13" s="4" t="str">
        <f t="shared" si="6"/>
        <v>OK</v>
      </c>
      <c r="K13" s="4">
        <f t="shared" si="7"/>
        <v>0.71306131942526685</v>
      </c>
      <c r="L13" s="6">
        <f t="shared" si="8"/>
        <v>5.4942149307901644E-7</v>
      </c>
    </row>
    <row r="14" spans="1:12" x14ac:dyDescent="0.45">
      <c r="A14">
        <v>6</v>
      </c>
      <c r="B14" s="4">
        <f t="shared" si="0"/>
        <v>0.60000000000000009</v>
      </c>
      <c r="C14" s="4">
        <f t="shared" si="1"/>
        <v>-9.7623868752630075E-3</v>
      </c>
      <c r="D14" s="4">
        <f t="shared" si="2"/>
        <v>-4.2742675314998537E-3</v>
      </c>
      <c r="E14" s="4">
        <f t="shared" si="3"/>
        <v>-4.5486734986880054E-3</v>
      </c>
      <c r="F14" s="4">
        <f t="shared" si="4"/>
        <v>6.9248047460579443E-4</v>
      </c>
      <c r="G14" s="4">
        <f t="shared" si="9"/>
        <v>0.69762386875263016</v>
      </c>
      <c r="H14" s="5">
        <v>0.69762386875263005</v>
      </c>
      <c r="I14" s="6">
        <f t="shared" si="5"/>
        <v>1.1102230246251565E-16</v>
      </c>
      <c r="J14" s="4" t="str">
        <f t="shared" si="6"/>
        <v>OK</v>
      </c>
      <c r="K14" s="4">
        <f t="shared" si="7"/>
        <v>0.69762327218805287</v>
      </c>
      <c r="L14" s="6">
        <f t="shared" si="8"/>
        <v>5.9656457729317935E-7</v>
      </c>
    </row>
    <row r="15" spans="1:12" x14ac:dyDescent="0.45">
      <c r="A15">
        <v>7</v>
      </c>
      <c r="B15" s="4">
        <f t="shared" si="0"/>
        <v>0.70000000000000007</v>
      </c>
      <c r="C15" s="4">
        <f t="shared" si="1"/>
        <v>6.8287626575420652E-4</v>
      </c>
      <c r="D15" s="4">
        <f t="shared" si="2"/>
        <v>5.6487324524664984E-3</v>
      </c>
      <c r="E15" s="4">
        <f t="shared" si="3"/>
        <v>5.4004396431308836E-3</v>
      </c>
      <c r="F15" s="4">
        <f t="shared" si="4"/>
        <v>1.014283230144112E-2</v>
      </c>
      <c r="G15" s="4">
        <f t="shared" si="9"/>
        <v>0.693171237342458</v>
      </c>
      <c r="H15" s="5">
        <v>0.693171237342458</v>
      </c>
      <c r="I15" s="6">
        <f t="shared" si="5"/>
        <v>0</v>
      </c>
      <c r="J15" s="4" t="str">
        <f t="shared" si="6"/>
        <v>OK</v>
      </c>
      <c r="K15" s="4">
        <f t="shared" si="7"/>
        <v>0.69317060758281901</v>
      </c>
      <c r="L15" s="6">
        <f t="shared" si="8"/>
        <v>6.2975963899258858E-7</v>
      </c>
    </row>
    <row r="16" spans="1:12" x14ac:dyDescent="0.45">
      <c r="A16">
        <v>8</v>
      </c>
      <c r="B16" s="4">
        <f t="shared" si="0"/>
        <v>0.8</v>
      </c>
      <c r="C16" s="4">
        <f t="shared" si="1"/>
        <v>1.0134142053114371E-2</v>
      </c>
      <c r="D16" s="4">
        <f t="shared" si="2"/>
        <v>1.4627434950458651E-2</v>
      </c>
      <c r="E16" s="4">
        <f t="shared" si="3"/>
        <v>1.440277030559144E-2</v>
      </c>
      <c r="F16" s="4">
        <f t="shared" si="4"/>
        <v>1.8693865022555222E-2</v>
      </c>
      <c r="G16" s="4">
        <f t="shared" si="9"/>
        <v>0.69865857946885634</v>
      </c>
      <c r="H16" s="5">
        <v>0.69865857946885601</v>
      </c>
      <c r="I16" s="6">
        <f t="shared" si="5"/>
        <v>3.3306690738754696E-16</v>
      </c>
      <c r="J16" s="4" t="str">
        <f t="shared" si="6"/>
        <v>OK</v>
      </c>
      <c r="K16" s="4">
        <f t="shared" si="7"/>
        <v>0.69865792823444317</v>
      </c>
      <c r="L16" s="6">
        <f t="shared" si="8"/>
        <v>6.51234413173718E-7</v>
      </c>
    </row>
    <row r="17" spans="1:12" x14ac:dyDescent="0.45">
      <c r="A17">
        <v>9</v>
      </c>
      <c r="B17" s="4">
        <f t="shared" si="0"/>
        <v>0.9</v>
      </c>
      <c r="C17" s="4">
        <f t="shared" si="1"/>
        <v>1.8686001759984871E-2</v>
      </c>
      <c r="D17" s="4">
        <f t="shared" si="2"/>
        <v>2.2751701671985636E-2</v>
      </c>
      <c r="E17" s="4">
        <f t="shared" si="3"/>
        <v>2.2548416676385599E-2</v>
      </c>
      <c r="F17" s="4">
        <f t="shared" si="4"/>
        <v>2.6431160092346306E-2</v>
      </c>
      <c r="G17" s="4">
        <f t="shared" si="9"/>
        <v>0.71313998240015131</v>
      </c>
      <c r="H17" s="5">
        <v>0.71313998240015097</v>
      </c>
      <c r="I17" s="6">
        <f t="shared" si="5"/>
        <v>3.3306690738754696E-16</v>
      </c>
      <c r="J17" s="4" t="str">
        <f t="shared" si="6"/>
        <v>OK</v>
      </c>
      <c r="K17" s="4">
        <f t="shared" si="7"/>
        <v>0.71313931948119824</v>
      </c>
      <c r="L17" s="6">
        <f t="shared" si="8"/>
        <v>6.629189530649171E-7</v>
      </c>
    </row>
    <row r="18" spans="1:12" x14ac:dyDescent="0.45">
      <c r="A18">
        <v>10</v>
      </c>
      <c r="B18" s="4">
        <f t="shared" si="0"/>
        <v>1</v>
      </c>
      <c r="C18" s="4">
        <f t="shared" si="1"/>
        <v>2.6424045117500308E-2</v>
      </c>
      <c r="D18" s="4">
        <f t="shared" si="2"/>
        <v>3.010284286162529E-2</v>
      </c>
      <c r="E18" s="4">
        <f t="shared" si="3"/>
        <v>2.991890297441905E-2</v>
      </c>
      <c r="F18" s="4">
        <f t="shared" si="4"/>
        <v>3.3432154820058416E-2</v>
      </c>
      <c r="G18" s="4">
        <f t="shared" si="9"/>
        <v>0.73575954882499695</v>
      </c>
      <c r="H18" s="5">
        <v>0.73575954882499695</v>
      </c>
      <c r="I18" s="6">
        <f t="shared" si="5"/>
        <v>0</v>
      </c>
      <c r="J18" s="4" t="str">
        <f t="shared" si="6"/>
        <v>OK</v>
      </c>
      <c r="K18" s="4">
        <f t="shared" si="7"/>
        <v>0.73575888234288467</v>
      </c>
      <c r="L18" s="6">
        <f t="shared" si="8"/>
        <v>6.6648211227704479E-7</v>
      </c>
    </row>
    <row r="20" spans="1:12" x14ac:dyDescent="0.45">
      <c r="A20" t="s">
        <v>19</v>
      </c>
      <c r="C20">
        <f>MAX(I8:I18)</f>
        <v>4.4408920985006262E-16</v>
      </c>
    </row>
    <row r="21" spans="1:12" x14ac:dyDescent="0.45">
      <c r="A21" t="s">
        <v>20</v>
      </c>
      <c r="C21" s="1" t="str">
        <f>IF(C20&lt;=$B$5,"ТЕСТ ПРОЙДЕН","ТЕСТ НЕ ПРОЙДЕН")</f>
        <v>ТЕСТ ПРОЙДЕН</v>
      </c>
    </row>
  </sheetData>
  <conditionalFormatting sqref="J8:J18">
    <cfRule type="containsText" dxfId="1" priority="1" operator="containsText" text="OK">
      <formula>NOT(ISERROR(SEARCH("OK",J8)))</formula>
    </cfRule>
    <cfRule type="containsText" dxfId="0" priority="2" operator="containsText" text="ОШИБКА">
      <formula>NOT(ISERROR(SEARCH("ОШИБКА",J8)))</formula>
    </cfRule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Матвей Белоногов</cp:lastModifiedBy>
  <dcterms:created xsi:type="dcterms:W3CDTF">2026-10-05T09:11:29Z</dcterms:created>
  <dcterms:modified xsi:type="dcterms:W3CDTF">2026-10-05T09:12:54Z</dcterms:modified>
</cp:coreProperties>
</file>