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8090c1e91e463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f1295d12f1e467796f67283906fcfee.psmdcp" Id="R3b144c601ac94e5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Тест" sheetId="1" r:id="rId2"/>
  </x:sheets>
  <x:definedNames/>
  <x:calcPr calcId="125725"/>
</x:workbook>
</file>

<file path=xl/calcChain.xml><?xml version="1.0" encoding="utf-8"?>
<x:calcChain xmlns:x="http://schemas.openxmlformats.org/spreadsheetml/2006/main">
  <x:c r="B8" i="1"/>
  <x:c r="C8" i="1"/>
  <x:c r="D8" i="1"/>
  <x:c r="E8" i="1"/>
  <x:c r="G8" i="1"/>
  <x:c r="H8" i="1"/>
  <x:c r="I8" i="1"/>
  <x:c r="J8" i="1"/>
  <x:c r="B9" i="1"/>
  <x:c r="C9" i="1"/>
  <x:c r="D9" i="1"/>
  <x:c r="E9" i="1"/>
  <x:c r="G9" i="1"/>
  <x:c r="H9" i="1"/>
  <x:c r="I9" i="1"/>
  <x:c r="J9" i="1"/>
  <x:c r="B10" i="1"/>
  <x:c r="C10" i="1"/>
  <x:c r="D10" i="1"/>
  <x:c r="E10" i="1"/>
  <x:c r="G10" i="1"/>
  <x:c r="H10" i="1"/>
  <x:c r="I10" i="1"/>
  <x:c r="J10" i="1"/>
  <x:c r="B11" i="1"/>
  <x:c r="C11" i="1"/>
  <x:c r="D11" i="1"/>
  <x:c r="E11" i="1"/>
  <x:c r="G11" i="1"/>
  <x:c r="H11" i="1"/>
  <x:c r="I11" i="1"/>
  <x:c r="J11" i="1"/>
  <x:c r="B12" i="1"/>
  <x:c r="C12" i="1"/>
  <x:c r="D12" i="1"/>
  <x:c r="E12" i="1"/>
  <x:c r="G12" i="1"/>
  <x:c r="H12" i="1"/>
  <x:c r="I12" i="1"/>
  <x:c r="J12" i="1"/>
  <x:c r="B13" i="1"/>
  <x:c r="C13" i="1"/>
  <x:c r="D13" i="1"/>
  <x:c r="E13" i="1"/>
  <x:c r="G13" i="1"/>
  <x:c r="H13" i="1"/>
  <x:c r="I13" i="1"/>
  <x:c r="J13" i="1"/>
  <x:c r="B14" i="1"/>
  <x:c r="C14" i="1"/>
  <x:c r="D14" i="1"/>
  <x:c r="E14" i="1"/>
  <x:c r="G14" i="1"/>
  <x:c r="H14" i="1"/>
  <x:c r="I14" i="1"/>
  <x:c r="J14" i="1"/>
  <x:c r="B15" i="1"/>
  <x:c r="C15" i="1"/>
  <x:c r="D15" i="1"/>
  <x:c r="E15" i="1"/>
  <x:c r="G15" i="1"/>
  <x:c r="H15" i="1"/>
  <x:c r="I15" i="1"/>
  <x:c r="J15" i="1"/>
  <x:c r="B16" i="1"/>
  <x:c r="C16" i="1"/>
  <x:c r="D16" i="1"/>
  <x:c r="E16" i="1"/>
  <x:c r="G16" i="1"/>
  <x:c r="H16" i="1"/>
  <x:c r="I16" i="1"/>
  <x:c r="J16" i="1"/>
  <x:c r="B17" i="1"/>
  <x:c r="C17" i="1"/>
  <x:c r="D17" i="1"/>
  <x:c r="E17" i="1"/>
  <x:c r="G17" i="1"/>
  <x:c r="H17" i="1"/>
  <x:c r="I17" i="1"/>
  <x:c r="J17" i="1"/>
  <x:c r="B18" i="1"/>
  <x:c r="C18" i="1"/>
  <x:c r="D18" i="1"/>
  <x:c r="E18" i="1"/>
  <x:c r="G18" i="1"/>
  <x:c r="H18" i="1"/>
  <x:c r="I18" i="1"/>
  <x:c r="J18" i="1"/>
  <x:c r="C20" i="1"/>
  <x:c r="C21" i="1"/>
</x:calcChain>
</file>

<file path=xl/sharedStrings.xml><?xml version="1.0" encoding="utf-8"?>
<x:sst xmlns:x="http://schemas.openxmlformats.org/spreadsheetml/2006/main">
  <x:si>
    <x:t>Контрольный тест: метод Рунге-Кутта 2-го порядка</x:t>
  </x:si>
  <x:si>
    <x:t>h</x:t>
  </x:si>
  <x:si>
    <x:t>x0</x:t>
  </x:si>
  <x:si>
    <x:t>y0</x:t>
  </x:si>
  <x:si>
    <x:t>Допуск</x:t>
  </x:si>
  <x:si>
    <x:t>f(x, y) = x - y</x:t>
  </x:si>
  <x:si>
    <x:t>y(x) точное = x - 1 + 2*Exp(-x)</x:t>
  </x:si>
  <x:si>
    <x:t>i</x:t>
  </x:si>
  <x:si>
    <x:t>x</x:t>
  </x:si>
  <x:si>
    <x:t>k1</x:t>
  </x:si>
  <x:si>
    <x:t>k2</x:t>
  </x:si>
  <x:si>
    <x:t>y (Excel)</x:t>
  </x:si>
  <x:si>
    <x:t>y (программа C#)</x:t>
  </x:si>
  <x:si>
    <x:t>|Δ| Excel–C#</x:t>
  </x:si>
  <x:si>
    <x:t>Статус</x:t>
  </x:si>
  <x:si>
    <x:t>y точное</x:t>
  </x:si>
  <x:si>
    <x:t>|y Excel − y точное|</x:t>
  </x:si>
  <x:si>
    <x:t>max |Δ| Excel–C#</x:t>
  </x:si>
  <x:si>
    <x:t>Вывод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</x:si>
</x:sst>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0.00000000"/>
    <x:numFmt numFmtId="165" formatCode="0.00E+00"/>
  </x:numFmts>
  <x:fonts count="4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0000FF"/>
      <x:name val="Calibri"/>
      <x:family val="2"/>
    </x:font>
    <x:font>
      <x:b/>
      <x:vertAlign val="baseline"/>
      <x:sz val="11"/>
      <x:color rgb="FFFFFFFF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FFF00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7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4" fontId="2" fillId="3" borderId="0" applyNumberFormat="1" applyFill="0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90EE90"/>
        </x:patternFill>
      </x:fill>
    </x:dxf>
    <x:dxf>
      <x:fill>
        <x:patternFill patternType="solid">
          <x:fgColor auto="1"/>
          <x:bgColor rgb="FFFFB6C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J21"/>
  <x:sheetViews>
    <x:sheetView workbookViewId="0"/>
  </x:sheetViews>
  <x:sheetFormatPr defaultRowHeight="15"/>
  <x:cols>
    <x:col min="1" max="10" width="18.710625" style="0" customWidth="1"/>
  </x:cols>
  <x:sheetData>
    <x:row r="1" spans="1:10">
      <x:c r="A1" s="1" t="s">
        <x:v>0</x:v>
      </x:c>
    </x:row>
    <x:row r="2" spans="1:10">
      <x:c r="A2" s="0" t="s">
        <x:v>1</x:v>
      </x:c>
      <x:c r="B2" s="2">
        <x:v>0.1</x:v>
      </x:c>
      <x:c r="C2" s="0" t="s">
        <x:v>5</x:v>
      </x:c>
    </x:row>
    <x:row r="3" spans="1:10">
      <x:c r="A3" s="0" t="s">
        <x:v>2</x:v>
      </x:c>
      <x:c r="B3" s="2">
        <x:v>0</x:v>
      </x:c>
      <x:c r="C3" s="0" t="s">
        <x:v>6</x:v>
      </x:c>
    </x:row>
    <x:row r="4" spans="1:10">
      <x:c r="A4" s="0" t="s">
        <x:v>3</x:v>
      </x:c>
      <x:c r="B4" s="2">
        <x:v>1</x:v>
      </x:c>
    </x:row>
    <x:row r="5" spans="1:10">
      <x:c r="A5" s="0" t="s">
        <x:v>4</x:v>
      </x:c>
      <x:c r="B5" s="2">
        <x:v>1E-09</x:v>
      </x:c>
    </x:row>
    <x:row r="7" spans="1:10" ht="32" customHeight="1">
      <x:c r="A7" s="3" t="s">
        <x:v>7</x:v>
      </x:c>
      <x:c r="B7" s="3" t="s">
        <x:v>8</x:v>
      </x:c>
      <x:c r="C7" s="3" t="s">
        <x:v>9</x:v>
      </x:c>
      <x:c r="D7" s="3" t="s">
        <x:v>10</x:v>
      </x:c>
      <x:c r="E7" s="3" t="s">
        <x:v>11</x:v>
      </x:c>
      <x:c r="F7" s="3" t="s">
        <x:v>12</x:v>
      </x:c>
      <x:c r="G7" s="3" t="s">
        <x:v>13</x:v>
      </x:c>
      <x:c r="H7" s="3" t="s">
        <x:v>14</x:v>
      </x:c>
      <x:c r="I7" s="3" t="s">
        <x:v>15</x:v>
      </x:c>
      <x:c r="J7" s="3" t="s">
        <x:v>16</x:v>
      </x:c>
    </x:row>
    <x:row r="8" spans="1:10">
      <x:c r="A8" s="0">
        <x:v>0</x:v>
      </x:c>
      <x:c r="B8" s="4">
        <x:f>$B$3+A8*$B$2</x:f>
      </x:c>
      <x:c r="C8" s="4">
        <x:f>$B$2*((B8) - (E8))</x:f>
      </x:c>
      <x:c r="D8" s="4">
        <x:f>$B$2*((B8+$B$2/2) - (E8+C8/2))</x:f>
      </x:c>
      <x:c r="E8" s="4">
        <x:f>$B$4</x:f>
      </x:c>
      <x:c r="F8" s="5">
        <x:v>1</x:v>
      </x:c>
      <x:c r="G8" s="6">
        <x:f>ABS(E8-F8)</x:f>
      </x:c>
      <x:c r="H8" s="4">
        <x:f>IF(G8&lt;=$B$5,"OK","ОШИБКА")</x:f>
      </x:c>
      <x:c r="I8" s="4">
        <x:f>((B8) - 1 + 2*EXP(-(B8)))</x:f>
      </x:c>
      <x:c r="J8" s="6">
        <x:f>ABS(E8-I8)</x:f>
      </x:c>
    </x:row>
    <x:row r="9" spans="1:10">
      <x:c r="A9" s="0">
        <x:v>1</x:v>
      </x:c>
      <x:c r="B9" s="4">
        <x:f>$B$3+A9*$B$2</x:f>
      </x:c>
      <x:c r="C9" s="4">
        <x:f>$B$2*((B9) - (E9))</x:f>
      </x:c>
      <x:c r="D9" s="4">
        <x:f>$B$2*((B9+$B$2/2) - (E9+C9/2))</x:f>
      </x:c>
      <x:c r="E9" s="4">
        <x:f>E8+D8</x:f>
      </x:c>
      <x:c r="F9" s="5">
        <x:v>0.91</x:v>
      </x:c>
      <x:c r="G9" s="6">
        <x:f>ABS(E9-F9)</x:f>
      </x:c>
      <x:c r="H9" s="4">
        <x:f>IF(G9&lt;=$B$5,"OK","ОШИБКА")</x:f>
      </x:c>
      <x:c r="I9" s="4">
        <x:f>((B9) - 1 + 2*EXP(-(B9)))</x:f>
      </x:c>
      <x:c r="J9" s="6">
        <x:f>ABS(E9-I9)</x:f>
      </x:c>
    </x:row>
    <x:row r="10" spans="1:10">
      <x:c r="A10" s="0">
        <x:v>2</x:v>
      </x:c>
      <x:c r="B10" s="4">
        <x:f>$B$3+A10*$B$2</x:f>
      </x:c>
      <x:c r="C10" s="4">
        <x:f>$B$2*((B10) - (E10))</x:f>
      </x:c>
      <x:c r="D10" s="4">
        <x:f>$B$2*((B10+$B$2/2) - (E10+C10/2))</x:f>
      </x:c>
      <x:c r="E10" s="4">
        <x:f>E9+D9</x:f>
      </x:c>
      <x:c r="F10" s="5">
        <x:v>0.83805</x:v>
      </x:c>
      <x:c r="G10" s="6">
        <x:f>ABS(E10-F10)</x:f>
      </x:c>
      <x:c r="H10" s="4">
        <x:f>IF(G10&lt;=$B$5,"OK","ОШИБКА")</x:f>
      </x:c>
      <x:c r="I10" s="4">
        <x:f>((B10) - 1 + 2*EXP(-(B10)))</x:f>
      </x:c>
      <x:c r="J10" s="6">
        <x:f>ABS(E10-I10)</x:f>
      </x:c>
    </x:row>
    <x:row r="11" spans="1:10">
      <x:c r="A11" s="0">
        <x:v>3</x:v>
      </x:c>
      <x:c r="B11" s="4">
        <x:f>$B$3+A11*$B$2</x:f>
      </x:c>
      <x:c r="C11" s="4">
        <x:f>$B$2*((B11) - (E11))</x:f>
      </x:c>
      <x:c r="D11" s="4">
        <x:f>$B$2*((B11+$B$2/2) - (E11+C11/2))</x:f>
      </x:c>
      <x:c r="E11" s="4">
        <x:f>E10+D10</x:f>
      </x:c>
      <x:c r="F11" s="5">
        <x:v>0.78243525</x:v>
      </x:c>
      <x:c r="G11" s="6">
        <x:f>ABS(E11-F11)</x:f>
      </x:c>
      <x:c r="H11" s="4">
        <x:f>IF(G11&lt;=$B$5,"OK","ОШИБКА")</x:f>
      </x:c>
      <x:c r="I11" s="4">
        <x:f>((B11) - 1 + 2*EXP(-(B11)))</x:f>
      </x:c>
      <x:c r="J11" s="6">
        <x:f>ABS(E11-I11)</x:f>
      </x:c>
    </x:row>
    <x:row r="12" spans="1:10">
      <x:c r="A12" s="0">
        <x:v>4</x:v>
      </x:c>
      <x:c r="B12" s="4">
        <x:f>$B$3+A12*$B$2</x:f>
      </x:c>
      <x:c r="C12" s="4">
        <x:f>$B$2*((B12) - (E12))</x:f>
      </x:c>
      <x:c r="D12" s="4">
        <x:f>$B$2*((B12+$B$2/2) - (E12+C12/2))</x:f>
      </x:c>
      <x:c r="E12" s="4">
        <x:f>E11+D11</x:f>
      </x:c>
      <x:c r="F12" s="5">
        <x:v>0.74160390125</x:v>
      </x:c>
      <x:c r="G12" s="6">
        <x:f>ABS(E12-F12)</x:f>
      </x:c>
      <x:c r="H12" s="4">
        <x:f>IF(G12&lt;=$B$5,"OK","ОШИБКА")</x:f>
      </x:c>
      <x:c r="I12" s="4">
        <x:f>((B12) - 1 + 2*EXP(-(B12)))</x:f>
      </x:c>
      <x:c r="J12" s="6">
        <x:f>ABS(E12-I12)</x:f>
      </x:c>
    </x:row>
    <x:row r="13" spans="1:10">
      <x:c r="A13" s="0">
        <x:v>5</x:v>
      </x:c>
      <x:c r="B13" s="4">
        <x:f>$B$3+A13*$B$2</x:f>
      </x:c>
      <x:c r="C13" s="4">
        <x:f>$B$2*((B13) - (E13))</x:f>
      </x:c>
      <x:c r="D13" s="4">
        <x:f>$B$2*((B13+$B$2/2) - (E13+C13/2))</x:f>
      </x:c>
      <x:c r="E13" s="4">
        <x:f>E12+D12</x:f>
      </x:c>
      <x:c r="F13" s="5">
        <x:v>0.71415153063125</x:v>
      </x:c>
      <x:c r="G13" s="6">
        <x:f>ABS(E13-F13)</x:f>
      </x:c>
      <x:c r="H13" s="4">
        <x:f>IF(G13&lt;=$B$5,"OK","ОШИБКА")</x:f>
      </x:c>
      <x:c r="I13" s="4">
        <x:f>((B13) - 1 + 2*EXP(-(B13)))</x:f>
      </x:c>
      <x:c r="J13" s="6">
        <x:f>ABS(E13-I13)</x:f>
      </x:c>
    </x:row>
    <x:row r="14" spans="1:10">
      <x:c r="A14" s="0">
        <x:v>6</x:v>
      </x:c>
      <x:c r="B14" s="4">
        <x:f>$B$3+A14*$B$2</x:f>
      </x:c>
      <x:c r="C14" s="4">
        <x:f>$B$2*((B14) - (E14))</x:f>
      </x:c>
      <x:c r="D14" s="4">
        <x:f>$B$2*((B14+$B$2/2) - (E14+C14/2))</x:f>
      </x:c>
      <x:c r="E14" s="4">
        <x:f>E13+D13</x:f>
      </x:c>
      <x:c r="F14" s="5">
        <x:v>0.698807135221281</x:v>
      </x:c>
      <x:c r="G14" s="6">
        <x:f>ABS(E14-F14)</x:f>
      </x:c>
      <x:c r="H14" s="4">
        <x:f>IF(G14&lt;=$B$5,"OK","ОШИБКА")</x:f>
      </x:c>
      <x:c r="I14" s="4">
        <x:f>((B14) - 1 + 2*EXP(-(B14)))</x:f>
      </x:c>
      <x:c r="J14" s="6">
        <x:f>ABS(E14-I14)</x:f>
      </x:c>
    </x:row>
    <x:row r="15" spans="1:10">
      <x:c r="A15" s="0">
        <x:v>7</x:v>
      </x:c>
      <x:c r="B15" s="4">
        <x:f>$B$3+A15*$B$2</x:f>
      </x:c>
      <x:c r="C15" s="4">
        <x:f>$B$2*((B15) - (E15))</x:f>
      </x:c>
      <x:c r="D15" s="4">
        <x:f>$B$2*((B15+$B$2/2) - (E15+C15/2))</x:f>
      </x:c>
      <x:c r="E15" s="4">
        <x:f>E14+D14</x:f>
      </x:c>
      <x:c r="F15" s="5">
        <x:v>0.694420457375259</x:v>
      </x:c>
      <x:c r="G15" s="6">
        <x:f>ABS(E15-F15)</x:f>
      </x:c>
      <x:c r="H15" s="4">
        <x:f>IF(G15&lt;=$B$5,"OK","ОШИБКА")</x:f>
      </x:c>
      <x:c r="I15" s="4">
        <x:f>((B15) - 1 + 2*EXP(-(B15)))</x:f>
      </x:c>
      <x:c r="J15" s="6">
        <x:f>ABS(E15-I15)</x:f>
      </x:c>
    </x:row>
    <x:row r="16" spans="1:10">
      <x:c r="A16" s="0">
        <x:v>8</x:v>
      </x:c>
      <x:c r="B16" s="4">
        <x:f>$B$3+A16*$B$2</x:f>
      </x:c>
      <x:c r="C16" s="4">
        <x:f>$B$2*((B16) - (E16))</x:f>
      </x:c>
      <x:c r="D16" s="4">
        <x:f>$B$2*((B16+$B$2/2) - (E16+C16/2))</x:f>
      </x:c>
      <x:c r="E16" s="4">
        <x:f>E15+D15</x:f>
      </x:c>
      <x:c r="F16" s="5">
        <x:v>0.69995051392461</x:v>
      </x:c>
      <x:c r="G16" s="6">
        <x:f>ABS(E16-F16)</x:f>
      </x:c>
      <x:c r="H16" s="4">
        <x:f>IF(G16&lt;=$B$5,"OK","ОШИБКА")</x:f>
      </x:c>
      <x:c r="I16" s="4">
        <x:f>((B16) - 1 + 2*EXP(-(B16)))</x:f>
      </x:c>
      <x:c r="J16" s="6">
        <x:f>ABS(E16-I16)</x:f>
      </x:c>
    </x:row>
    <x:row r="17" spans="1:10">
      <x:c r="A17" s="0">
        <x:v>9</x:v>
      </x:c>
      <x:c r="B17" s="4">
        <x:f>$B$3+A17*$B$2</x:f>
      </x:c>
      <x:c r="C17" s="4">
        <x:f>$B$2*((B17) - (E17))</x:f>
      </x:c>
      <x:c r="D17" s="4">
        <x:f>$B$2*((B17+$B$2/2) - (E17+C17/2))</x:f>
      </x:c>
      <x:c r="E17" s="4">
        <x:f>E16+D16</x:f>
      </x:c>
      <x:c r="F17" s="5">
        <x:v>0.714455215101772</x:v>
      </x:c>
      <x:c r="G17" s="6">
        <x:f>ABS(E17-F17)</x:f>
      </x:c>
      <x:c r="H17" s="4">
        <x:f>IF(G17&lt;=$B$5,"OK","ОШИБКА")</x:f>
      </x:c>
      <x:c r="I17" s="4">
        <x:f>((B17) - 1 + 2*EXP(-(B17)))</x:f>
      </x:c>
      <x:c r="J17" s="6">
        <x:f>ABS(E17-I17)</x:f>
      </x:c>
    </x:row>
    <x:row r="18" spans="1:10">
      <x:c r="A18" s="0">
        <x:v>10</x:v>
      </x:c>
      <x:c r="B18" s="4">
        <x:f>$B$3+A18*$B$2</x:f>
      </x:c>
      <x:c r="C18" s="4">
        <x:f>$B$2*((B18) - (E18))</x:f>
      </x:c>
      <x:c r="D18" s="4">
        <x:f>$B$2*((B18+$B$2/2) - (E18+C18/2))</x:f>
      </x:c>
      <x:c r="E18" s="4">
        <x:f>E17+D17</x:f>
      </x:c>
      <x:c r="F18" s="5">
        <x:v>0.737081969667104</x:v>
      </x:c>
      <x:c r="G18" s="6">
        <x:f>ABS(E18-F18)</x:f>
      </x:c>
      <x:c r="H18" s="4">
        <x:f>IF(G18&lt;=$B$5,"OK","ОШИБКА")</x:f>
      </x:c>
      <x:c r="I18" s="4">
        <x:f>((B18) - 1 + 2*EXP(-(B18)))</x:f>
      </x:c>
      <x:c r="J18" s="6">
        <x:f>ABS(E18-I18)</x:f>
      </x:c>
    </x:row>
    <x:row r="20" spans="1:10">
      <x:c r="A20" s="0" t="s">
        <x:v>17</x:v>
      </x:c>
      <x:c r="C20" s="0">
        <x:f>MAX(G8:G18)</x:f>
      </x:c>
    </x:row>
    <x:row r="21" spans="1:10">
      <x:c r="A21" s="0" t="s">
        <x:v>18</x:v>
      </x:c>
      <x:c r="C21" s="1">
        <x:f>IF(C20&lt;=$B$5,"ТЕСТ ПРОЙДЕН","ТЕСТ НЕ ПРОЙДЕН")</x:f>
      </x:c>
    </x:row>
  </x:sheetData>
  <x:conditionalFormatting sqref="H8:H18">
    <x:cfRule type="containsText" dxfId="0" priority="1" operator="containsText" text="OK">
      <x:formula>NOT(ISERROR(SEARCH("OK",H8)))</x:formula>
    </x:cfRule>
    <x:cfRule type="containsText" dxfId="1" priority="2" operator="containsText" text="ОШИБКА">
      <x:formula>NOT(ISERROR(SEARCH("ОШИБКА",H8)))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Тест</vt:lpstr>
      <vt:lpstr>Тест!Print_Area</vt:lpstr>
      <vt:lpstr>Тест!Print_Titles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